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us Codes" sheetId="1" state="visible" r:id="rId3"/>
    <sheet name="Summary" sheetId="2" state="visible" r:id="rId4"/>
  </sheets>
  <definedNames>
    <definedName function="false" hidden="true" localSheetId="0" name="_xlnm._FilterDatabase" vbProcedure="false">'Status Codes'!$A$1:$F$28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<sst xmlns="http://schemas.openxmlformats.org/spreadsheetml/2006/main" count="179" uniqueCount="100">
  <si>
    <t xml:space="preserve">Range</t>
  </si>
  <si>
    <t xml:space="preserve">Category</t>
  </si>
  <si>
    <t xml:space="preserve">Code</t>
  </si>
  <si>
    <t xml:space="preserve">Name</t>
  </si>
  <si>
    <t xml:space="preserve">Use when</t>
  </si>
  <si>
    <t xml:space="preserve">Most used?</t>
  </si>
  <si>
    <t xml:space="preserve">2xx</t>
  </si>
  <si>
    <t xml:space="preserve">Success</t>
  </si>
  <si>
    <t xml:space="preserve">OK</t>
  </si>
  <si>
    <t xml:space="preserve">GET worked, or update worked and you return data</t>
  </si>
  <si>
    <t xml:space="preserve">Yes</t>
  </si>
  <si>
    <t xml:space="preserve">Created</t>
  </si>
  <si>
    <t xml:space="preserve">POST created a new record</t>
  </si>
  <si>
    <t xml:space="preserve">Accepted</t>
  </si>
  <si>
    <t xml:space="preserve">Request received, processing later (background job)</t>
  </si>
  <si>
    <t xml:space="preserve">No</t>
  </si>
  <si>
    <t xml:space="preserve">No Content</t>
  </si>
  <si>
    <t xml:space="preserve">Worked, nothing to return (DELETE, OPTIONS)</t>
  </si>
  <si>
    <t xml:space="preserve">3xx</t>
  </si>
  <si>
    <t xml:space="preserve">Redirect</t>
  </si>
  <si>
    <t xml:space="preserve">Moved Permanently</t>
  </si>
  <si>
    <t xml:space="preserve">URL changed forever</t>
  </si>
  <si>
    <t xml:space="preserve">Found</t>
  </si>
  <si>
    <t xml:space="preserve">Temporary redirect (after login)</t>
  </si>
  <si>
    <t xml:space="preserve">Not Modified</t>
  </si>
  <si>
    <t xml:space="preserve">Cached version is still valid</t>
  </si>
  <si>
    <t xml:space="preserve">Temporary Redirect</t>
  </si>
  <si>
    <t xml:space="preserve">Like 302, but keeps the POST method and body</t>
  </si>
  <si>
    <t xml:space="preserve">Permanent Redirect</t>
  </si>
  <si>
    <t xml:space="preserve">Like 301, but keeps the POST method and body</t>
  </si>
  <si>
    <t xml:space="preserve">4xx</t>
  </si>
  <si>
    <t xml:space="preserve">Client Error</t>
  </si>
  <si>
    <t xml:space="preserve">Bad Request</t>
  </si>
  <si>
    <t xml:space="preserve">Broken request, invalid JSON, missing keys</t>
  </si>
  <si>
    <t xml:space="preserve">Unauthorized</t>
  </si>
  <si>
    <t xml:space="preserve">Not logged in, or bad/missing token</t>
  </si>
  <si>
    <t xml:space="preserve">Forbidden</t>
  </si>
  <si>
    <t xml:space="preserve">Logged in but not allowed</t>
  </si>
  <si>
    <t xml:space="preserve">Not Found</t>
  </si>
  <si>
    <t xml:space="preserve">URL or record doesn't exist</t>
  </si>
  <si>
    <t xml:space="preserve">Method Not Allowed</t>
  </si>
  <si>
    <t xml:space="preserve">Wrong HTTP method (GET on a POST-only endpoint)</t>
  </si>
  <si>
    <t xml:space="preserve">Not Acceptable</t>
  </si>
  <si>
    <t xml:space="preserve">Server can't return the format the client asked for</t>
  </si>
  <si>
    <t xml:space="preserve">Request Timeout</t>
  </si>
  <si>
    <t xml:space="preserve">Client took too long to send the request</t>
  </si>
  <si>
    <t xml:space="preserve">Conflict</t>
  </si>
  <si>
    <t xml:space="preserve">Duplicate data (email already exists)</t>
  </si>
  <si>
    <t xml:space="preserve">Gone</t>
  </si>
  <si>
    <t xml:space="preserve">Resource existed but was permanently deleted</t>
  </si>
  <si>
    <t xml:space="preserve">Payload Too Large</t>
  </si>
  <si>
    <t xml:space="preserve">Body or uploaded file is too big</t>
  </si>
  <si>
    <t xml:space="preserve">Unsupported Media Type</t>
  </si>
  <si>
    <t xml:space="preserve">Wrong Content-Type (sent XML, expected JSON)</t>
  </si>
  <si>
    <t xml:space="preserve">Unprocessable Entity</t>
  </si>
  <si>
    <t xml:space="preserve">Valid JSON, but values are wrong</t>
  </si>
  <si>
    <t xml:space="preserve">Too Many Requests</t>
  </si>
  <si>
    <t xml:space="preserve">Rate limit exceeded</t>
  </si>
  <si>
    <t xml:space="preserve">5xx</t>
  </si>
  <si>
    <t xml:space="preserve">Server Error</t>
  </si>
  <si>
    <t xml:space="preserve">Internal Server Error</t>
  </si>
  <si>
    <t xml:space="preserve">Unexpected failure, DB error, exception</t>
  </si>
  <si>
    <t xml:space="preserve">Not Implemented</t>
  </si>
  <si>
    <t xml:space="preserve">Feature or method not built yet</t>
  </si>
  <si>
    <t xml:space="preserve">Bad Gateway</t>
  </si>
  <si>
    <t xml:space="preserve">Upstream server gave a bad response</t>
  </si>
  <si>
    <t xml:space="preserve">Service Unavailable</t>
  </si>
  <si>
    <t xml:space="preserve">Server down or in maintenance</t>
  </si>
  <si>
    <t xml:space="preserve">Gateway Timeout</t>
  </si>
  <si>
    <t xml:space="preserve">Upstream server took too long</t>
  </si>
  <si>
    <t xml:space="preserve">Category overview</t>
  </si>
  <si>
    <t xml:space="preserve">Meaning</t>
  </si>
  <si>
    <t xml:space="preserve">Who is responsible</t>
  </si>
  <si>
    <t xml:space="preserve">Codes listed</t>
  </si>
  <si>
    <t xml:space="preserve">Most used</t>
  </si>
  <si>
    <t xml:space="preserve">All good</t>
  </si>
  <si>
    <t xml:space="preserve">Nobody, it worked</t>
  </si>
  <si>
    <t xml:space="preserve">Go elsewhere</t>
  </si>
  <si>
    <t xml:space="preserve">Client should go somewhere else</t>
  </si>
  <si>
    <t xml:space="preserve">You messed up</t>
  </si>
  <si>
    <t xml:space="preserve">Client (the request was wrong)</t>
  </si>
  <si>
    <t xml:space="preserve">I messed up</t>
  </si>
  <si>
    <t xml:space="preserve">Server (PHP/database failed)</t>
  </si>
  <si>
    <t xml:space="preserve">Total</t>
  </si>
  <si>
    <t xml:space="preserve">CRUD quick guide</t>
  </si>
  <si>
    <t xml:space="preserve">Action</t>
  </si>
  <si>
    <t xml:space="preserve">Common failures</t>
  </si>
  <si>
    <t xml:space="preserve">GET list/one</t>
  </si>
  <si>
    <t xml:space="preserve">200</t>
  </si>
  <si>
    <t xml:space="preserve">404</t>
  </si>
  <si>
    <t xml:space="preserve">POST create</t>
  </si>
  <si>
    <t xml:space="preserve">201</t>
  </si>
  <si>
    <t xml:space="preserve">400, 422, 409</t>
  </si>
  <si>
    <t xml:space="preserve">PUT/PATCH update</t>
  </si>
  <si>
    <t xml:space="preserve">400, 404, 422</t>
  </si>
  <si>
    <t xml:space="preserve">DELETE</t>
  </si>
  <si>
    <t xml:space="preserve">200 or 204</t>
  </si>
  <si>
    <t xml:space="preserve">Any action</t>
  </si>
  <si>
    <t xml:space="preserve">401, 403, 405, 500</t>
  </si>
  <si>
    <t xml:space="preserve">Rule: never return 200 with an error message inside. Use the right status code.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</si>
</sst>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6" min="6" style="0" width="13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4" t="n">
        <v>200</v>
      </c>
      <c r="D2" s="3" t="s">
        <v>8</v>
      </c>
      <c r="E2" s="5" t="s">
        <v>9</v>
      </c>
      <c r="F2" s="4" t="s">
        <v>10</v>
      </c>
    </row>
    <row r="3" customFormat="false" ht="15" hidden="false" customHeight="false" outlineLevel="0" collapsed="false">
      <c r="A3" s="2" t="s">
        <v>6</v>
      </c>
      <c r="B3" s="3" t="s">
        <v>7</v>
      </c>
      <c r="C3" s="4" t="n">
        <v>201</v>
      </c>
      <c r="D3" s="3" t="s">
        <v>11</v>
      </c>
      <c r="E3" s="5" t="s">
        <v>12</v>
      </c>
      <c r="F3" s="4" t="s">
        <v>10</v>
      </c>
    </row>
    <row r="4" customFormat="false" ht="15" hidden="false" customHeight="false" outlineLevel="0" collapsed="false">
      <c r="A4" s="2" t="s">
        <v>6</v>
      </c>
      <c r="B4" s="3" t="s">
        <v>7</v>
      </c>
      <c r="C4" s="4" t="n">
        <v>202</v>
      </c>
      <c r="D4" s="3" t="s">
        <v>13</v>
      </c>
      <c r="E4" s="5" t="s">
        <v>14</v>
      </c>
      <c r="F4" s="2" t="s">
        <v>15</v>
      </c>
    </row>
    <row r="5" customFormat="false" ht="15" hidden="false" customHeight="false" outlineLevel="0" collapsed="false">
      <c r="A5" s="2" t="s">
        <v>6</v>
      </c>
      <c r="B5" s="3" t="s">
        <v>7</v>
      </c>
      <c r="C5" s="4" t="n">
        <v>204</v>
      </c>
      <c r="D5" s="3" t="s">
        <v>16</v>
      </c>
      <c r="E5" s="5" t="s">
        <v>17</v>
      </c>
      <c r="F5" s="4" t="s">
        <v>10</v>
      </c>
    </row>
    <row r="6" customFormat="false" ht="15" hidden="false" customHeight="false" outlineLevel="0" collapsed="false">
      <c r="A6" s="6" t="s">
        <v>18</v>
      </c>
      <c r="B6" s="7" t="s">
        <v>19</v>
      </c>
      <c r="C6" s="8" t="n">
        <v>301</v>
      </c>
      <c r="D6" s="7" t="s">
        <v>20</v>
      </c>
      <c r="E6" s="9" t="s">
        <v>21</v>
      </c>
      <c r="F6" s="6" t="s">
        <v>15</v>
      </c>
    </row>
    <row r="7" customFormat="false" ht="15" hidden="false" customHeight="false" outlineLevel="0" collapsed="false">
      <c r="A7" s="6" t="s">
        <v>18</v>
      </c>
      <c r="B7" s="7" t="s">
        <v>19</v>
      </c>
      <c r="C7" s="8" t="n">
        <v>302</v>
      </c>
      <c r="D7" s="7" t="s">
        <v>22</v>
      </c>
      <c r="E7" s="9" t="s">
        <v>23</v>
      </c>
      <c r="F7" s="6" t="s">
        <v>15</v>
      </c>
    </row>
    <row r="8" customFormat="false" ht="15" hidden="false" customHeight="false" outlineLevel="0" collapsed="false">
      <c r="A8" s="6" t="s">
        <v>18</v>
      </c>
      <c r="B8" s="7" t="s">
        <v>19</v>
      </c>
      <c r="C8" s="8" t="n">
        <v>304</v>
      </c>
      <c r="D8" s="7" t="s">
        <v>24</v>
      </c>
      <c r="E8" s="9" t="s">
        <v>25</v>
      </c>
      <c r="F8" s="6" t="s">
        <v>15</v>
      </c>
    </row>
    <row r="9" customFormat="false" ht="15" hidden="false" customHeight="false" outlineLevel="0" collapsed="false">
      <c r="A9" s="6" t="s">
        <v>18</v>
      </c>
      <c r="B9" s="7" t="s">
        <v>19</v>
      </c>
      <c r="C9" s="8" t="n">
        <v>307</v>
      </c>
      <c r="D9" s="7" t="s">
        <v>26</v>
      </c>
      <c r="E9" s="9" t="s">
        <v>27</v>
      </c>
      <c r="F9" s="6" t="s">
        <v>15</v>
      </c>
    </row>
    <row r="10" customFormat="false" ht="15" hidden="false" customHeight="false" outlineLevel="0" collapsed="false">
      <c r="A10" s="6" t="s">
        <v>18</v>
      </c>
      <c r="B10" s="7" t="s">
        <v>19</v>
      </c>
      <c r="C10" s="8" t="n">
        <v>308</v>
      </c>
      <c r="D10" s="7" t="s">
        <v>28</v>
      </c>
      <c r="E10" s="9" t="s">
        <v>29</v>
      </c>
      <c r="F10" s="6" t="s">
        <v>15</v>
      </c>
    </row>
    <row r="11" customFormat="false" ht="15" hidden="false" customHeight="false" outlineLevel="0" collapsed="false">
      <c r="A11" s="10" t="s">
        <v>30</v>
      </c>
      <c r="B11" s="11" t="s">
        <v>31</v>
      </c>
      <c r="C11" s="12" t="n">
        <v>400</v>
      </c>
      <c r="D11" s="11" t="s">
        <v>32</v>
      </c>
      <c r="E11" s="13" t="s">
        <v>33</v>
      </c>
      <c r="F11" s="12" t="s">
        <v>10</v>
      </c>
    </row>
    <row r="12" customFormat="false" ht="15" hidden="false" customHeight="false" outlineLevel="0" collapsed="false">
      <c r="A12" s="10" t="s">
        <v>30</v>
      </c>
      <c r="B12" s="11" t="s">
        <v>31</v>
      </c>
      <c r="C12" s="12" t="n">
        <v>401</v>
      </c>
      <c r="D12" s="11" t="s">
        <v>34</v>
      </c>
      <c r="E12" s="13" t="s">
        <v>35</v>
      </c>
      <c r="F12" s="12" t="s">
        <v>10</v>
      </c>
    </row>
    <row r="13" customFormat="false" ht="15" hidden="false" customHeight="false" outlineLevel="0" collapsed="false">
      <c r="A13" s="10" t="s">
        <v>30</v>
      </c>
      <c r="B13" s="11" t="s">
        <v>31</v>
      </c>
      <c r="C13" s="12" t="n">
        <v>403</v>
      </c>
      <c r="D13" s="11" t="s">
        <v>36</v>
      </c>
      <c r="E13" s="13" t="s">
        <v>37</v>
      </c>
      <c r="F13" s="12" t="s">
        <v>10</v>
      </c>
    </row>
    <row r="14" customFormat="false" ht="15" hidden="false" customHeight="false" outlineLevel="0" collapsed="false">
      <c r="A14" s="10" t="s">
        <v>30</v>
      </c>
      <c r="B14" s="11" t="s">
        <v>31</v>
      </c>
      <c r="C14" s="12" t="n">
        <v>404</v>
      </c>
      <c r="D14" s="11" t="s">
        <v>38</v>
      </c>
      <c r="E14" s="13" t="s">
        <v>39</v>
      </c>
      <c r="F14" s="12" t="s">
        <v>10</v>
      </c>
    </row>
    <row r="15" customFormat="false" ht="15" hidden="false" customHeight="false" outlineLevel="0" collapsed="false">
      <c r="A15" s="10" t="s">
        <v>30</v>
      </c>
      <c r="B15" s="11" t="s">
        <v>31</v>
      </c>
      <c r="C15" s="12" t="n">
        <v>405</v>
      </c>
      <c r="D15" s="11" t="s">
        <v>40</v>
      </c>
      <c r="E15" s="13" t="s">
        <v>41</v>
      </c>
      <c r="F15" s="12" t="s">
        <v>10</v>
      </c>
    </row>
    <row r="16" customFormat="false" ht="15" hidden="false" customHeight="false" outlineLevel="0" collapsed="false">
      <c r="A16" s="10" t="s">
        <v>30</v>
      </c>
      <c r="B16" s="11" t="s">
        <v>31</v>
      </c>
      <c r="C16" s="12" t="n">
        <v>406</v>
      </c>
      <c r="D16" s="11" t="s">
        <v>42</v>
      </c>
      <c r="E16" s="13" t="s">
        <v>43</v>
      </c>
      <c r="F16" s="10" t="s">
        <v>15</v>
      </c>
    </row>
    <row r="17" customFormat="false" ht="15" hidden="false" customHeight="false" outlineLevel="0" collapsed="false">
      <c r="A17" s="10" t="s">
        <v>30</v>
      </c>
      <c r="B17" s="11" t="s">
        <v>31</v>
      </c>
      <c r="C17" s="12" t="n">
        <v>408</v>
      </c>
      <c r="D17" s="11" t="s">
        <v>44</v>
      </c>
      <c r="E17" s="13" t="s">
        <v>45</v>
      </c>
      <c r="F17" s="10" t="s">
        <v>15</v>
      </c>
    </row>
    <row r="18" customFormat="false" ht="15" hidden="false" customHeight="false" outlineLevel="0" collapsed="false">
      <c r="A18" s="10" t="s">
        <v>30</v>
      </c>
      <c r="B18" s="11" t="s">
        <v>31</v>
      </c>
      <c r="C18" s="12" t="n">
        <v>409</v>
      </c>
      <c r="D18" s="11" t="s">
        <v>46</v>
      </c>
      <c r="E18" s="13" t="s">
        <v>47</v>
      </c>
      <c r="F18" s="10" t="s">
        <v>15</v>
      </c>
    </row>
    <row r="19" customFormat="false" ht="15" hidden="false" customHeight="false" outlineLevel="0" collapsed="false">
      <c r="A19" s="10" t="s">
        <v>30</v>
      </c>
      <c r="B19" s="11" t="s">
        <v>31</v>
      </c>
      <c r="C19" s="12" t="n">
        <v>410</v>
      </c>
      <c r="D19" s="11" t="s">
        <v>48</v>
      </c>
      <c r="E19" s="13" t="s">
        <v>49</v>
      </c>
      <c r="F19" s="10" t="s">
        <v>15</v>
      </c>
    </row>
    <row r="20" customFormat="false" ht="15" hidden="false" customHeight="false" outlineLevel="0" collapsed="false">
      <c r="A20" s="10" t="s">
        <v>30</v>
      </c>
      <c r="B20" s="11" t="s">
        <v>31</v>
      </c>
      <c r="C20" s="12" t="n">
        <v>413</v>
      </c>
      <c r="D20" s="11" t="s">
        <v>50</v>
      </c>
      <c r="E20" s="13" t="s">
        <v>51</v>
      </c>
      <c r="F20" s="10" t="s">
        <v>15</v>
      </c>
    </row>
    <row r="21" customFormat="false" ht="15" hidden="false" customHeight="false" outlineLevel="0" collapsed="false">
      <c r="A21" s="10" t="s">
        <v>30</v>
      </c>
      <c r="B21" s="11" t="s">
        <v>31</v>
      </c>
      <c r="C21" s="12" t="n">
        <v>415</v>
      </c>
      <c r="D21" s="11" t="s">
        <v>52</v>
      </c>
      <c r="E21" s="13" t="s">
        <v>53</v>
      </c>
      <c r="F21" s="10" t="s">
        <v>15</v>
      </c>
    </row>
    <row r="22" customFormat="false" ht="15" hidden="false" customHeight="false" outlineLevel="0" collapsed="false">
      <c r="A22" s="10" t="s">
        <v>30</v>
      </c>
      <c r="B22" s="11" t="s">
        <v>31</v>
      </c>
      <c r="C22" s="12" t="n">
        <v>422</v>
      </c>
      <c r="D22" s="11" t="s">
        <v>54</v>
      </c>
      <c r="E22" s="13" t="s">
        <v>55</v>
      </c>
      <c r="F22" s="12" t="s">
        <v>10</v>
      </c>
    </row>
    <row r="23" customFormat="false" ht="15" hidden="false" customHeight="false" outlineLevel="0" collapsed="false">
      <c r="A23" s="10" t="s">
        <v>30</v>
      </c>
      <c r="B23" s="11" t="s">
        <v>31</v>
      </c>
      <c r="C23" s="12" t="n">
        <v>429</v>
      </c>
      <c r="D23" s="11" t="s">
        <v>56</v>
      </c>
      <c r="E23" s="13" t="s">
        <v>57</v>
      </c>
      <c r="F23" s="10" t="s">
        <v>15</v>
      </c>
    </row>
    <row r="24" customFormat="false" ht="15" hidden="false" customHeight="false" outlineLevel="0" collapsed="false">
      <c r="A24" s="14" t="s">
        <v>58</v>
      </c>
      <c r="B24" s="15" t="s">
        <v>59</v>
      </c>
      <c r="C24" s="16" t="n">
        <v>500</v>
      </c>
      <c r="D24" s="15" t="s">
        <v>60</v>
      </c>
      <c r="E24" s="17" t="s">
        <v>61</v>
      </c>
      <c r="F24" s="16" t="s">
        <v>10</v>
      </c>
    </row>
    <row r="25" customFormat="false" ht="15" hidden="false" customHeight="false" outlineLevel="0" collapsed="false">
      <c r="A25" s="14" t="s">
        <v>58</v>
      </c>
      <c r="B25" s="15" t="s">
        <v>59</v>
      </c>
      <c r="C25" s="16" t="n">
        <v>501</v>
      </c>
      <c r="D25" s="15" t="s">
        <v>62</v>
      </c>
      <c r="E25" s="17" t="s">
        <v>63</v>
      </c>
      <c r="F25" s="14" t="s">
        <v>15</v>
      </c>
    </row>
    <row r="26" customFormat="false" ht="15" hidden="false" customHeight="false" outlineLevel="0" collapsed="false">
      <c r="A26" s="14" t="s">
        <v>58</v>
      </c>
      <c r="B26" s="15" t="s">
        <v>59</v>
      </c>
      <c r="C26" s="16" t="n">
        <v>502</v>
      </c>
      <c r="D26" s="15" t="s">
        <v>64</v>
      </c>
      <c r="E26" s="17" t="s">
        <v>65</v>
      </c>
      <c r="F26" s="14" t="s">
        <v>15</v>
      </c>
    </row>
    <row r="27" customFormat="false" ht="15" hidden="false" customHeight="false" outlineLevel="0" collapsed="false">
      <c r="A27" s="14" t="s">
        <v>58</v>
      </c>
      <c r="B27" s="15" t="s">
        <v>59</v>
      </c>
      <c r="C27" s="16" t="n">
        <v>503</v>
      </c>
      <c r="D27" s="15" t="s">
        <v>66</v>
      </c>
      <c r="E27" s="17" t="s">
        <v>67</v>
      </c>
      <c r="F27" s="14" t="s">
        <v>15</v>
      </c>
    </row>
    <row r="28" customFormat="false" ht="15" hidden="false" customHeight="false" outlineLevel="0" collapsed="false">
      <c r="A28" s="14" t="s">
        <v>58</v>
      </c>
      <c r="B28" s="15" t="s">
        <v>59</v>
      </c>
      <c r="C28" s="16" t="n">
        <v>504</v>
      </c>
      <c r="D28" s="15" t="s">
        <v>68</v>
      </c>
      <c r="E28" s="17" t="s">
        <v>69</v>
      </c>
      <c r="F28" s="14" t="s">
        <v>15</v>
      </c>
    </row>
  </sheetData>
  <autoFilter ref="A1:F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18" t="s">
        <v>70</v>
      </c>
    </row>
    <row r="3" customFormat="false" ht="15" hidden="false" customHeight="false" outlineLevel="0" collapsed="false">
      <c r="A3" s="19" t="s">
        <v>0</v>
      </c>
      <c r="B3" s="19" t="s">
        <v>71</v>
      </c>
      <c r="C3" s="19" t="s">
        <v>72</v>
      </c>
      <c r="D3" s="19" t="s">
        <v>73</v>
      </c>
      <c r="E3" s="19" t="s">
        <v>74</v>
      </c>
    </row>
    <row r="4" customFormat="false" ht="15" hidden="false" customHeight="false" outlineLevel="0" collapsed="false">
      <c r="A4" s="20" t="s">
        <v>6</v>
      </c>
      <c r="B4" s="21" t="s">
        <v>75</v>
      </c>
      <c r="C4" s="21" t="s">
        <v>76</v>
      </c>
      <c r="D4" s="20" t="n">
        <f aca="false">COUNTIF('Status Codes'!$A$2:$A$28,A4)</f>
        <v>4</v>
      </c>
      <c r="E4" s="20" t="n">
        <f aca="false">COUNTIFS('Status Codes'!$A$2:$A$28,A4,'Status Codes'!$F$2:$F$28,"Yes")</f>
        <v>3</v>
      </c>
    </row>
    <row r="5" customFormat="false" ht="15" hidden="false" customHeight="false" outlineLevel="0" collapsed="false">
      <c r="A5" s="22" t="s">
        <v>18</v>
      </c>
      <c r="B5" s="23" t="s">
        <v>77</v>
      </c>
      <c r="C5" s="23" t="s">
        <v>78</v>
      </c>
      <c r="D5" s="22" t="n">
        <f aca="false">COUNTIF('Status Codes'!$A$2:$A$28,A5)</f>
        <v>5</v>
      </c>
      <c r="E5" s="22" t="n">
        <f aca="false">COUNTIFS('Status Codes'!$A$2:$A$28,A5,'Status Codes'!$F$2:$F$28,"Yes")</f>
        <v>0</v>
      </c>
    </row>
    <row r="6" customFormat="false" ht="15" hidden="false" customHeight="false" outlineLevel="0" collapsed="false">
      <c r="A6" s="24" t="s">
        <v>30</v>
      </c>
      <c r="B6" s="25" t="s">
        <v>79</v>
      </c>
      <c r="C6" s="25" t="s">
        <v>80</v>
      </c>
      <c r="D6" s="24" t="n">
        <f aca="false">COUNTIF('Status Codes'!$A$2:$A$28,A6)</f>
        <v>13</v>
      </c>
      <c r="E6" s="24" t="n">
        <f aca="false">COUNTIFS('Status Codes'!$A$2:$A$28,A6,'Status Codes'!$F$2:$F$28,"Yes")</f>
        <v>6</v>
      </c>
    </row>
    <row r="7" customFormat="false" ht="15" hidden="false" customHeight="false" outlineLevel="0" collapsed="false">
      <c r="A7" s="26" t="s">
        <v>58</v>
      </c>
      <c r="B7" s="27" t="s">
        <v>81</v>
      </c>
      <c r="C7" s="27" t="s">
        <v>82</v>
      </c>
      <c r="D7" s="26" t="n">
        <f aca="false">COUNTIF('Status Codes'!$A$2:$A$28,A7)</f>
        <v>5</v>
      </c>
      <c r="E7" s="26" t="n">
        <f aca="false">COUNTIFS('Status Codes'!$A$2:$A$28,A7,'Status Codes'!$F$2:$F$28,"Yes")</f>
        <v>1</v>
      </c>
    </row>
    <row r="8" customFormat="false" ht="15" hidden="false" customHeight="false" outlineLevel="0" collapsed="false">
      <c r="A8" s="28" t="s">
        <v>83</v>
      </c>
      <c r="B8" s="29"/>
      <c r="C8" s="29"/>
      <c r="D8" s="29" t="n">
        <f aca="false">SUM(D4:D7)</f>
        <v>27</v>
      </c>
      <c r="E8" s="29" t="n">
        <f aca="false">SUM(E4:E7)</f>
        <v>10</v>
      </c>
    </row>
    <row r="10" customFormat="false" ht="16.15" hidden="false" customHeight="false" outlineLevel="0" collapsed="false">
      <c r="A10" s="18" t="s">
        <v>84</v>
      </c>
    </row>
    <row r="12" customFormat="false" ht="15" hidden="false" customHeight="false" outlineLevel="0" collapsed="false">
      <c r="A12" s="19" t="s">
        <v>85</v>
      </c>
      <c r="B12" s="19" t="s">
        <v>7</v>
      </c>
      <c r="C12" s="19" t="s">
        <v>86</v>
      </c>
    </row>
    <row r="13" customFormat="false" ht="15" hidden="false" customHeight="false" outlineLevel="0" collapsed="false">
      <c r="A13" s="30" t="s">
        <v>87</v>
      </c>
      <c r="B13" s="31" t="s">
        <v>88</v>
      </c>
      <c r="C13" s="30" t="s">
        <v>89</v>
      </c>
    </row>
    <row r="14" customFormat="false" ht="15" hidden="false" customHeight="false" outlineLevel="0" collapsed="false">
      <c r="A14" s="30" t="s">
        <v>90</v>
      </c>
      <c r="B14" s="31" t="s">
        <v>91</v>
      </c>
      <c r="C14" s="30" t="s">
        <v>92</v>
      </c>
    </row>
    <row r="15" customFormat="false" ht="15" hidden="false" customHeight="false" outlineLevel="0" collapsed="false">
      <c r="A15" s="30" t="s">
        <v>93</v>
      </c>
      <c r="B15" s="31" t="s">
        <v>88</v>
      </c>
      <c r="C15" s="30" t="s">
        <v>94</v>
      </c>
    </row>
    <row r="16" customFormat="false" ht="15" hidden="false" customHeight="false" outlineLevel="0" collapsed="false">
      <c r="A16" s="30" t="s">
        <v>95</v>
      </c>
      <c r="B16" s="31" t="s">
        <v>96</v>
      </c>
      <c r="C16" s="30" t="s">
        <v>89</v>
      </c>
    </row>
    <row r="17" customFormat="false" ht="15" hidden="false" customHeight="false" outlineLevel="0" collapsed="false">
      <c r="A17" s="30" t="s">
        <v>97</v>
      </c>
      <c r="B17" s="31"/>
      <c r="C17" s="30" t="s">
        <v>98</v>
      </c>
    </row>
    <row r="19" customFormat="false" ht="15" hidden="false" customHeight="false" outlineLevel="0" collapsed="false">
      <c r="A19" s="3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2026-10-18T21:58:54Z</dcterms:created>
  <dc:creator>openpyxl</dc:creator>
  <dc:description/>
  <dc:language>en-US</dc:language>
  <cp:lastModifiedBy/>
  <dcterms:modified xsi:type="dcterms:W3CDTF">2026-10-18T21:58:54Z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